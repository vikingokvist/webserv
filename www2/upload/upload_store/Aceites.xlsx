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<sst xmlns="http://schemas.openxmlformats.org/spreadsheetml/2006/main" count="51" uniqueCount="38">
  <si>
    <t>Prioridad</t>
  </si>
  <si>
    <t>Orden</t>
  </si>
  <si>
    <t>Categoría</t>
  </si>
  <si>
    <t>Estado</t>
  </si>
  <si>
    <t>Fecha del pedido</t>
  </si>
  <si>
    <t>Llega antes de</t>
  </si>
  <si>
    <t>Coste</t>
  </si>
  <si>
    <t>Persona de contacto</t>
  </si>
  <si>
    <t>Notas</t>
  </si>
  <si>
    <t>P0</t>
  </si>
  <si>
    <t>Categoría 1</t>
  </si>
  <si>
    <t>Pedido</t>
  </si>
  <si>
    <t>P1</t>
  </si>
  <si>
    <t>Categoría 2</t>
  </si>
  <si>
    <t>Aprobado</t>
  </si>
  <si>
    <t>P2</t>
  </si>
  <si>
    <t>Categoría 3</t>
  </si>
  <si>
    <t>Enviado</t>
  </si>
  <si>
    <t>P3</t>
  </si>
  <si>
    <t>Categoría 4</t>
  </si>
  <si>
    <t>Entregado</t>
  </si>
  <si>
    <t>Producto</t>
  </si>
  <si>
    <t>Cantidad</t>
  </si>
  <si>
    <t>Precio</t>
  </si>
  <si>
    <t>Precio Envío</t>
  </si>
  <si>
    <t>Impuestos</t>
  </si>
  <si>
    <t>Plataforma de ventas</t>
  </si>
  <si>
    <t>Total</t>
  </si>
  <si>
    <t>Bono Amazon</t>
  </si>
  <si>
    <t>Dar Papa</t>
  </si>
  <si>
    <t>Yo</t>
  </si>
  <si>
    <t>Yo Mas Bono</t>
  </si>
  <si>
    <t>Aceite</t>
  </si>
  <si>
    <t>Amazon</t>
  </si>
  <si>
    <t>Javier Sánchez</t>
  </si>
  <si>
    <t>Miguel</t>
  </si>
  <si>
    <t>Recibido</t>
  </si>
  <si>
    <t>Los Peña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</si>
</sst>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Arial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D7DADD"/>
        <bgColor rgb="FFD7DADD"/>
      </patternFill>
    </fill>
    <fill>
      <patternFill patternType="solid">
        <fgColor rgb="FF626E7A"/>
        <bgColor rgb="FF626E7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14">
    <border/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D7DADD"/>
      </right>
      <top>
        <color rgb="FF4A535C"/>
      </top>
      <bottom style="thin">
        <color rgb="FF4A535C"/>
      </bottom>
    </border>
    <border>
      <left style="thin">
        <color rgb="FFD7DADD"/>
      </left>
      <right style="thin">
        <color rgb="FFD7DADD"/>
      </right>
      <top>
        <color rgb="FF4A535C"/>
      </top>
      <bottom style="thin">
        <color rgb="FF4A535C"/>
      </bottom>
    </border>
    <border>
      <left style="thin">
        <color rgb="FFD7DADD"/>
      </left>
      <right style="thin">
        <color rgb="FF4A535C"/>
      </right>
      <top>
        <color rgb="FF4A535C"/>
      </top>
      <bottom style="thin">
        <color rgb="FF4A535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10" fillId="2" fontId="1" numFmtId="0" xfId="0" applyAlignment="1" applyBorder="1" applyFill="1" applyFont="1">
      <alignment shrinkToFit="0" vertical="center" wrapText="0"/>
    </xf>
    <xf borderId="11" fillId="2" fontId="1" numFmtId="0" xfId="0" applyAlignment="1" applyBorder="1" applyFont="1">
      <alignment shrinkToFit="0" vertical="center" wrapText="0"/>
    </xf>
    <xf borderId="11" fillId="2" fontId="1" numFmtId="0" xfId="0" applyAlignment="1" applyBorder="1" applyFont="1">
      <alignment shrinkToFit="0" vertical="center" wrapText="0"/>
    </xf>
    <xf borderId="12" fillId="2" fontId="1" numFmtId="0" xfId="0" applyAlignment="1" applyBorder="1" applyFont="1">
      <alignment shrinkToFit="0" vertical="center" wrapText="0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4" fontId="3" numFmtId="0" xfId="0" applyAlignment="1" applyBorder="1" applyFill="1" applyFont="1">
      <alignment readingOrder="0" shrinkToFit="0" vertical="center" wrapText="0"/>
    </xf>
    <xf borderId="5" fillId="4" fontId="4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4" fontId="5" numFmtId="0" xfId="0" applyAlignment="1" applyBorder="1" applyFont="1">
      <alignment horizontal="right"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5" fontId="3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4" fontId="5" numFmtId="0" xfId="0" applyAlignment="1" applyBorder="1" applyFont="1">
      <alignment horizontal="right" shrinkToFit="0" vertical="center" wrapText="0"/>
    </xf>
    <xf borderId="9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5" fontId="3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11" fillId="2" fontId="5" numFmtId="0" xfId="0" applyAlignment="1" applyBorder="1" applyFont="1">
      <alignment horizontal="right" shrinkToFit="0" vertical="center" wrapText="0"/>
    </xf>
    <xf borderId="11" fillId="2" fontId="5" numFmtId="0" xfId="0" applyAlignment="1" applyBorder="1" applyFont="1">
      <alignment horizontal="right" shrinkToFit="0" vertical="center" wrapText="0"/>
    </xf>
    <xf borderId="11" fillId="2" fontId="1" numFmtId="0" xfId="0" applyAlignment="1" applyBorder="1" applyFont="1">
      <alignment shrinkToFit="0" vertical="center" wrapText="0"/>
    </xf>
    <xf borderId="13" fillId="6" fontId="1" numFmtId="0" xfId="0" applyAlignment="1" applyBorder="1" applyFill="1" applyFont="1">
      <alignment shrinkToFit="0" vertical="center" wrapText="0"/>
    </xf>
    <xf borderId="13" fillId="7" fontId="1" numFmtId="0" xfId="0" applyAlignment="1" applyBorder="1" applyFill="1" applyFont="1">
      <alignment shrinkToFit="0" vertical="center" wrapText="0"/>
    </xf>
    <xf borderId="13" fillId="8" fontId="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7DADD"/>
          <bgColor rgb="FFD7DADD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I15" displayName="Órdenes_de_compra" name="Órdenes_de_compra" id="1">
  <tableColumns count="9">
    <tableColumn name="Prioridad" id="1"/>
    <tableColumn name="Orden" id="2"/>
    <tableColumn name="Categoría" id="3"/>
    <tableColumn name="Estado" id="4"/>
    <tableColumn name="Fecha del pedido" id="5"/>
    <tableColumn name="Llega antes de" id="6"/>
    <tableColumn totalsRowFunction="custom" name="Coste" id="7"/>
    <tableColumn name="Persona de contacto" id="8"/>
    <tableColumn name="Notas" id="9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totalsRowCount="1" ref="A1:O13" displayName="Pedidos_de_ventas" name="Pedidos_de_ventas" id="2">
  <tableColumns count="15">
    <tableColumn name="Prioridad" id="1"/>
    <tableColumn name="Producto" id="2"/>
    <tableColumn name="Estado" id="3"/>
    <tableColumn name="Fecha del pedido" id="4"/>
    <tableColumn name="Cantidad" id="5"/>
    <tableColumn totalsRowFunction="custom" name="Precio" id="6"/>
    <tableColumn totalsRowFunction="custom" name="Precio Envío" id="7"/>
    <tableColumn totalsRowFunction="custom" name="Impuestos" id="8"/>
    <tableColumn name="Plataforma de ventas" id="9"/>
    <tableColumn name="Persona de contacto" id="10"/>
    <tableColumn totalsRowFunction="custom" name="Total" id="11"/>
    <tableColumn totalsRowFunction="custom" name="Bono Amazon" id="12"/>
    <tableColumn totalsRowFunction="custom" name="Dar Papa" id="13"/>
    <tableColumn totalsRowFunction="custom" name="Yo" id="14"/>
    <tableColumn totalsRowFunction="custom" name="Yo Mas Bono" id="15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7.63"/>
    <col customWidth="1" min="4" max="4" width="15.13"/>
    <col customWidth="1" min="5" max="5" width="17.63"/>
    <col customWidth="1" min="6" max="7" width="15.13"/>
    <col customWidth="1" min="8" max="8" width="22.63"/>
    <col customWidth="1" min="9" max="9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/>
      <c r="C2" s="6" t="s">
        <v>10</v>
      </c>
      <c r="D2" s="6" t="s">
        <v>11</v>
      </c>
      <c r="E2" s="7"/>
      <c r="F2" s="7"/>
      <c r="G2" s="8"/>
      <c r="H2" s="5"/>
      <c r="I2" s="9"/>
    </row>
    <row r="3">
      <c r="A3" s="10" t="s">
        <v>12</v>
      </c>
      <c r="B3" s="11"/>
      <c r="C3" s="12" t="s">
        <v>13</v>
      </c>
      <c r="D3" s="12" t="s">
        <v>14</v>
      </c>
      <c r="E3" s="13"/>
      <c r="F3" s="13"/>
      <c r="G3" s="14"/>
      <c r="H3" s="11"/>
      <c r="I3" s="15"/>
    </row>
    <row r="4">
      <c r="A4" s="4" t="s">
        <v>15</v>
      </c>
      <c r="B4" s="5"/>
      <c r="C4" s="6" t="s">
        <v>16</v>
      </c>
      <c r="D4" s="6" t="s">
        <v>17</v>
      </c>
      <c r="E4" s="7"/>
      <c r="F4" s="7"/>
      <c r="G4" s="8"/>
      <c r="H4" s="5"/>
      <c r="I4" s="9"/>
    </row>
    <row r="5">
      <c r="A5" s="10" t="s">
        <v>18</v>
      </c>
      <c r="B5" s="11"/>
      <c r="C5" s="12" t="s">
        <v>19</v>
      </c>
      <c r="D5" s="12" t="s">
        <v>20</v>
      </c>
      <c r="E5" s="13"/>
      <c r="F5" s="13"/>
      <c r="G5" s="14"/>
      <c r="H5" s="11"/>
      <c r="I5" s="15"/>
    </row>
    <row r="6">
      <c r="A6" s="16"/>
      <c r="B6" s="5"/>
      <c r="C6" s="17"/>
      <c r="D6" s="17"/>
      <c r="E6" s="7"/>
      <c r="F6" s="7"/>
      <c r="G6" s="8"/>
      <c r="H6" s="5"/>
      <c r="I6" s="9"/>
    </row>
    <row r="7">
      <c r="A7" s="18"/>
      <c r="B7" s="11"/>
      <c r="C7" s="19"/>
      <c r="D7" s="19"/>
      <c r="E7" s="13"/>
      <c r="F7" s="13"/>
      <c r="G7" s="14"/>
      <c r="H7" s="11"/>
      <c r="I7" s="15"/>
    </row>
    <row r="8">
      <c r="A8" s="16"/>
      <c r="B8" s="5"/>
      <c r="C8" s="17"/>
      <c r="D8" s="17"/>
      <c r="E8" s="7"/>
      <c r="F8" s="7"/>
      <c r="G8" s="8"/>
      <c r="H8" s="5"/>
      <c r="I8" s="9"/>
    </row>
    <row r="9">
      <c r="A9" s="18"/>
      <c r="B9" s="11"/>
      <c r="C9" s="19"/>
      <c r="D9" s="19"/>
      <c r="E9" s="13"/>
      <c r="F9" s="13"/>
      <c r="G9" s="14"/>
      <c r="H9" s="11"/>
      <c r="I9" s="15"/>
    </row>
    <row r="10">
      <c r="A10" s="16"/>
      <c r="B10" s="5"/>
      <c r="C10" s="17"/>
      <c r="D10" s="17"/>
      <c r="E10" s="7"/>
      <c r="F10" s="7"/>
      <c r="G10" s="8"/>
      <c r="H10" s="5"/>
      <c r="I10" s="9"/>
    </row>
    <row r="11">
      <c r="A11" s="18"/>
      <c r="B11" s="11"/>
      <c r="C11" s="19"/>
      <c r="D11" s="19"/>
      <c r="E11" s="13"/>
      <c r="F11" s="13"/>
      <c r="G11" s="14"/>
      <c r="H11" s="11"/>
      <c r="I11" s="15"/>
    </row>
    <row r="12">
      <c r="A12" s="16"/>
      <c r="B12" s="5"/>
      <c r="C12" s="17"/>
      <c r="D12" s="17"/>
      <c r="E12" s="7"/>
      <c r="F12" s="7"/>
      <c r="G12" s="8"/>
      <c r="H12" s="5"/>
      <c r="I12" s="9"/>
    </row>
    <row r="13">
      <c r="A13" s="18"/>
      <c r="B13" s="11"/>
      <c r="C13" s="19"/>
      <c r="D13" s="19"/>
      <c r="E13" s="13"/>
      <c r="F13" s="13"/>
      <c r="G13" s="14"/>
      <c r="H13" s="11"/>
      <c r="I13" s="15"/>
    </row>
    <row r="14">
      <c r="A14" s="16"/>
      <c r="B14" s="5"/>
      <c r="C14" s="17"/>
      <c r="D14" s="17"/>
      <c r="E14" s="7"/>
      <c r="F14" s="7"/>
      <c r="G14" s="8"/>
      <c r="H14" s="5"/>
      <c r="I14" s="9"/>
    </row>
    <row r="15">
      <c r="A15" s="20"/>
      <c r="B15" s="21"/>
      <c r="C15" s="21"/>
      <c r="D15" s="21"/>
      <c r="E15" s="21"/>
      <c r="F15" s="21"/>
      <c r="G15" s="22">
        <f>SUM(Órdenes_de_compra[Coste])</f>
        <v>0</v>
      </c>
      <c r="H15" s="21"/>
      <c r="I15" s="23"/>
    </row>
  </sheetData>
  <dataValidations>
    <dataValidation type="list" allowBlank="1" sqref="C2:C14">
      <formula1>"Categoría 1,Categoría 2,Categoría 3,Categoría 4"</formula1>
    </dataValidation>
    <dataValidation type="custom" allowBlank="1" showDropDown="1" sqref="E2:F14">
      <formula1>OR(NOT(ISERROR(DATEVALUE(E2))), AND(ISNUMBER(E2), LEFT(CELL("format", E2))="D"))</formula1>
    </dataValidation>
    <dataValidation type="custom" allowBlank="1" showDropDown="1" sqref="G2:G14">
      <formula1>AND(ISNUMBER(G2),(NOT(OR(NOT(ISERROR(DATEVALUE(G2))), AND(ISNUMBER(G2), LEFT(CELL("format", G2))="D")))))</formula1>
    </dataValidation>
    <dataValidation allowBlank="1" showDropDown="1" sqref="B2:B14 I2:I14"/>
    <dataValidation type="list" allowBlank="1" sqref="D2:D14">
      <formula1>"Pedido,Aprobado,Enviado,Entregado"</formula1>
    </dataValidation>
    <dataValidation type="list" allowBlank="1" sqref="A2:A14">
      <formula1>"P0,P1,P2,P3"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20.13"/>
    <col customWidth="1" min="5" max="5" width="8.75"/>
    <col customWidth="1" min="6" max="6" width="17.63"/>
    <col customWidth="1" min="7" max="8" width="12.63"/>
    <col customWidth="1" min="9" max="9" width="13.5"/>
    <col customWidth="1" min="10" max="10" width="25.13"/>
    <col customWidth="1" min="11" max="11" width="15.38"/>
    <col customWidth="1" min="12" max="12" width="11.63"/>
    <col customWidth="1" min="13" max="13" width="12.88"/>
    <col customWidth="1" min="14" max="14" width="10.25"/>
    <col customWidth="1" min="15" max="15" width="11.5"/>
    <col customWidth="1" min="16" max="16" width="20.0"/>
  </cols>
  <sheetData>
    <row r="1">
      <c r="A1" s="1" t="s">
        <v>0</v>
      </c>
      <c r="B1" s="2" t="s">
        <v>21</v>
      </c>
      <c r="C1" s="2" t="s">
        <v>3</v>
      </c>
      <c r="D1" s="2" t="s">
        <v>4</v>
      </c>
      <c r="E1" s="2" t="s">
        <v>22</v>
      </c>
      <c r="F1" s="2" t="s">
        <v>23</v>
      </c>
      <c r="G1" s="24" t="s">
        <v>24</v>
      </c>
      <c r="H1" s="24" t="s">
        <v>25</v>
      </c>
      <c r="I1" s="2" t="s">
        <v>26</v>
      </c>
      <c r="J1" s="2" t="s">
        <v>7</v>
      </c>
      <c r="K1" s="25" t="s">
        <v>27</v>
      </c>
      <c r="L1" s="26" t="s">
        <v>28</v>
      </c>
      <c r="M1" s="26" t="s">
        <v>29</v>
      </c>
      <c r="N1" s="26" t="s">
        <v>30</v>
      </c>
      <c r="O1" s="27" t="s">
        <v>31</v>
      </c>
    </row>
    <row r="2">
      <c r="A2" s="4" t="s">
        <v>9</v>
      </c>
      <c r="B2" s="28" t="s">
        <v>32</v>
      </c>
      <c r="C2" s="28" t="s">
        <v>17</v>
      </c>
      <c r="D2" s="29">
        <v>45925.0</v>
      </c>
      <c r="E2" s="30">
        <v>1.0</v>
      </c>
      <c r="F2" s="31">
        <v>18.95</v>
      </c>
      <c r="G2" s="32">
        <v>4.1</v>
      </c>
      <c r="H2" s="33">
        <v>5.34</v>
      </c>
      <c r="I2" s="28" t="s">
        <v>33</v>
      </c>
      <c r="J2" s="34" t="s">
        <v>34</v>
      </c>
      <c r="K2" s="35">
        <f>SUM(Pedidos_de_ventas[Precio] - ( Pedidos_de_ventas[Precio Envío] + Pedidos_de_ventas[Impuestos]) )</f>
        <v>9.51</v>
      </c>
      <c r="L2" s="31">
        <v>3.0</v>
      </c>
      <c r="M2" s="31">
        <v>10.0</v>
      </c>
      <c r="N2" s="8">
        <f>SUM(Pedidos_de_ventas[Total] - Pedidos_de_ventas[Dar Papa])</f>
        <v>-0.49</v>
      </c>
      <c r="O2" s="36">
        <f>SUM(Pedidos_de_ventas[Yo] + Pedidos_de_ventas[Bono Amazon])</f>
        <v>2.51</v>
      </c>
    </row>
    <row r="3">
      <c r="A3" s="10" t="s">
        <v>12</v>
      </c>
      <c r="B3" s="37" t="s">
        <v>32</v>
      </c>
      <c r="C3" s="37" t="s">
        <v>17</v>
      </c>
      <c r="D3" s="38">
        <v>45925.0</v>
      </c>
      <c r="E3" s="39">
        <v>1.0</v>
      </c>
      <c r="F3" s="40">
        <v>18.95</v>
      </c>
      <c r="G3" s="41">
        <v>3.65</v>
      </c>
      <c r="H3" s="33">
        <v>5.34</v>
      </c>
      <c r="I3" s="37" t="s">
        <v>33</v>
      </c>
      <c r="J3" s="42" t="s">
        <v>35</v>
      </c>
      <c r="K3" s="43">
        <f>SUM(Pedidos_de_ventas[Precio] - ( Pedidos_de_ventas[Precio Envío] + Pedidos_de_ventas[Impuestos]) )</f>
        <v>9.96</v>
      </c>
      <c r="L3" s="40">
        <v>3.0</v>
      </c>
      <c r="M3" s="40">
        <v>10.0</v>
      </c>
      <c r="N3" s="14">
        <f>SUM(Pedidos_de_ventas[Total] - Pedidos_de_ventas[Dar Papa])</f>
        <v>-0.04</v>
      </c>
      <c r="O3" s="44">
        <f>SUM(Pedidos_de_ventas[Yo] + Pedidos_de_ventas[Bono Amazon])</f>
        <v>2.96</v>
      </c>
    </row>
    <row r="4">
      <c r="A4" s="4" t="s">
        <v>15</v>
      </c>
      <c r="B4" s="28" t="s">
        <v>32</v>
      </c>
      <c r="C4" s="28" t="s">
        <v>36</v>
      </c>
      <c r="D4" s="29">
        <v>45929.0</v>
      </c>
      <c r="E4" s="30">
        <v>1.0</v>
      </c>
      <c r="F4" s="31">
        <v>19.95</v>
      </c>
      <c r="G4" s="32">
        <v>4.0</v>
      </c>
      <c r="H4" s="33">
        <v>4.57</v>
      </c>
      <c r="I4" s="28" t="s">
        <v>33</v>
      </c>
      <c r="J4" s="34" t="s">
        <v>37</v>
      </c>
      <c r="K4" s="35">
        <f>SUM(Pedidos_de_ventas[Precio] - ( Pedidos_de_ventas[Precio Envío] + Pedidos_de_ventas[Impuestos]) )</f>
        <v>11.38</v>
      </c>
      <c r="L4" s="31">
        <v>3.0</v>
      </c>
      <c r="M4" s="31">
        <v>10.0</v>
      </c>
      <c r="N4" s="8">
        <f>SUM(Pedidos_de_ventas[Total] - Pedidos_de_ventas[Dar Papa])</f>
        <v>1.38</v>
      </c>
      <c r="O4" s="36">
        <f>SUM(Pedidos_de_ventas[Yo] + Pedidos_de_ventas[Bono Amazon])</f>
        <v>4.38</v>
      </c>
    </row>
    <row r="5">
      <c r="A5" s="18"/>
      <c r="B5" s="19"/>
      <c r="C5" s="19"/>
      <c r="D5" s="13"/>
      <c r="E5" s="45"/>
      <c r="F5" s="14"/>
      <c r="G5" s="46"/>
      <c r="H5" s="46"/>
      <c r="I5" s="19"/>
      <c r="J5" s="11"/>
      <c r="K5" s="43">
        <f>SUM(Pedidos_de_ventas[Precio] - ( Pedidos_de_ventas[Precio Envío] + Pedidos_de_ventas[Impuestos]) )</f>
        <v>0</v>
      </c>
      <c r="L5" s="14"/>
      <c r="M5" s="14"/>
      <c r="N5" s="14">
        <f>SUM(Pedidos_de_ventas[Total] - Pedidos_de_ventas[Dar Papa])</f>
        <v>0</v>
      </c>
      <c r="O5" s="44">
        <f>SUM(Pedidos_de_ventas[Yo] + Pedidos_de_ventas[Bono Amazon])</f>
        <v>0</v>
      </c>
    </row>
    <row r="6">
      <c r="A6" s="16"/>
      <c r="B6" s="17"/>
      <c r="C6" s="17"/>
      <c r="D6" s="7"/>
      <c r="E6" s="47"/>
      <c r="F6" s="8"/>
      <c r="G6" s="48"/>
      <c r="H6" s="48"/>
      <c r="I6" s="17"/>
      <c r="J6" s="5"/>
      <c r="K6" s="35">
        <f>SUM(Pedidos_de_ventas[Precio] - ( Pedidos_de_ventas[Precio Envío] + Pedidos_de_ventas[Impuestos]) )</f>
        <v>0</v>
      </c>
      <c r="L6" s="8"/>
      <c r="M6" s="8"/>
      <c r="N6" s="8">
        <f>SUM(Pedidos_de_ventas[Total] - Pedidos_de_ventas[Dar Papa])</f>
        <v>0</v>
      </c>
      <c r="O6" s="36">
        <f>SUM(Pedidos_de_ventas[Yo] + Pedidos_de_ventas[Bono Amazon])</f>
        <v>0</v>
      </c>
    </row>
    <row r="7">
      <c r="A7" s="18"/>
      <c r="B7" s="19"/>
      <c r="C7" s="19"/>
      <c r="D7" s="13"/>
      <c r="E7" s="45"/>
      <c r="F7" s="14"/>
      <c r="G7" s="46"/>
      <c r="H7" s="46"/>
      <c r="I7" s="19"/>
      <c r="J7" s="11"/>
      <c r="K7" s="43">
        <f>SUM(Pedidos_de_ventas[Precio] - ( Pedidos_de_ventas[Precio Envío] + Pedidos_de_ventas[Impuestos]) )</f>
        <v>0</v>
      </c>
      <c r="L7" s="14"/>
      <c r="M7" s="14"/>
      <c r="N7" s="14">
        <f>SUM(Pedidos_de_ventas[Total] - Pedidos_de_ventas[Dar Papa])</f>
        <v>0</v>
      </c>
      <c r="O7" s="44">
        <f>SUM(Pedidos_de_ventas[Yo] + Pedidos_de_ventas[Bono Amazon])</f>
        <v>0</v>
      </c>
    </row>
    <row r="8">
      <c r="A8" s="16"/>
      <c r="B8" s="17"/>
      <c r="C8" s="17"/>
      <c r="D8" s="7"/>
      <c r="E8" s="47"/>
      <c r="F8" s="8"/>
      <c r="G8" s="48"/>
      <c r="H8" s="48"/>
      <c r="I8" s="17"/>
      <c r="J8" s="5"/>
      <c r="K8" s="35">
        <f>SUM(Pedidos_de_ventas[Precio] - ( Pedidos_de_ventas[Precio Envío] + Pedidos_de_ventas[Impuestos]) )</f>
        <v>0</v>
      </c>
      <c r="L8" s="8"/>
      <c r="M8" s="8"/>
      <c r="N8" s="8">
        <f>SUM(Pedidos_de_ventas[Total] - Pedidos_de_ventas[Dar Papa])</f>
        <v>0</v>
      </c>
      <c r="O8" s="36">
        <f>SUM(Pedidos_de_ventas[Yo] + Pedidos_de_ventas[Bono Amazon])</f>
        <v>0</v>
      </c>
    </row>
    <row r="9">
      <c r="A9" s="18"/>
      <c r="B9" s="19"/>
      <c r="C9" s="19"/>
      <c r="D9" s="13"/>
      <c r="E9" s="45"/>
      <c r="F9" s="14"/>
      <c r="G9" s="46"/>
      <c r="H9" s="46"/>
      <c r="I9" s="19"/>
      <c r="J9" s="11"/>
      <c r="K9" s="43">
        <f>SUM(Pedidos_de_ventas[Precio] - ( Pedidos_de_ventas[Precio Envío] + Pedidos_de_ventas[Impuestos]) )</f>
        <v>0</v>
      </c>
      <c r="L9" s="14"/>
      <c r="M9" s="14"/>
      <c r="N9" s="14">
        <f>SUM(Pedidos_de_ventas[Total] - Pedidos_de_ventas[Dar Papa])</f>
        <v>0</v>
      </c>
      <c r="O9" s="44">
        <f>SUM(Pedidos_de_ventas[Yo] + Pedidos_de_ventas[Bono Amazon])</f>
        <v>0</v>
      </c>
    </row>
    <row r="10">
      <c r="A10" s="16"/>
      <c r="B10" s="17"/>
      <c r="C10" s="17"/>
      <c r="D10" s="7"/>
      <c r="E10" s="47"/>
      <c r="F10" s="8"/>
      <c r="G10" s="48"/>
      <c r="H10" s="48"/>
      <c r="I10" s="17"/>
      <c r="J10" s="5"/>
      <c r="K10" s="35">
        <f>SUM(Pedidos_de_ventas[Precio] - ( Pedidos_de_ventas[Precio Envío] + Pedidos_de_ventas[Impuestos]) )</f>
        <v>0</v>
      </c>
      <c r="L10" s="8"/>
      <c r="M10" s="8"/>
      <c r="N10" s="8">
        <f>SUM(Pedidos_de_ventas[Total] - Pedidos_de_ventas[Dar Papa])</f>
        <v>0</v>
      </c>
      <c r="O10" s="36">
        <f>SUM(Pedidos_de_ventas[Yo] + Pedidos_de_ventas[Bono Amazon])</f>
        <v>0</v>
      </c>
    </row>
    <row r="11">
      <c r="A11" s="18"/>
      <c r="B11" s="19"/>
      <c r="C11" s="19"/>
      <c r="D11" s="13"/>
      <c r="E11" s="45"/>
      <c r="F11" s="14"/>
      <c r="G11" s="46"/>
      <c r="H11" s="46"/>
      <c r="I11" s="19"/>
      <c r="J11" s="11"/>
      <c r="K11" s="43">
        <f>SUM(Pedidos_de_ventas[Precio] - ( Pedidos_de_ventas[Precio Envío] + Pedidos_de_ventas[Impuestos]) )</f>
        <v>0</v>
      </c>
      <c r="L11" s="14"/>
      <c r="M11" s="14"/>
      <c r="N11" s="14">
        <f>SUM(Pedidos_de_ventas[Total] - Pedidos_de_ventas[Dar Papa])</f>
        <v>0</v>
      </c>
      <c r="O11" s="44">
        <f>SUM(Pedidos_de_ventas[Yo] + Pedidos_de_ventas[Bono Amazon])</f>
        <v>0</v>
      </c>
    </row>
    <row r="12">
      <c r="A12" s="16"/>
      <c r="B12" s="17"/>
      <c r="C12" s="17"/>
      <c r="D12" s="7"/>
      <c r="E12" s="47"/>
      <c r="F12" s="8"/>
      <c r="G12" s="48"/>
      <c r="H12" s="48"/>
      <c r="I12" s="17"/>
      <c r="J12" s="5"/>
      <c r="K12" s="35">
        <f>SUM(Pedidos_de_ventas[Precio] - ( Pedidos_de_ventas[Precio Envío] + Pedidos_de_ventas[Impuestos]) )</f>
        <v>0</v>
      </c>
      <c r="L12" s="8"/>
      <c r="M12" s="8"/>
      <c r="N12" s="8">
        <f>SUM(Pedidos_de_ventas[Total] - Pedidos_de_ventas[Dar Papa])</f>
        <v>0</v>
      </c>
      <c r="O12" s="36">
        <f>SUM(Pedidos_de_ventas[Yo] + Pedidos_de_ventas[Bono Amazon])</f>
        <v>0</v>
      </c>
    </row>
    <row r="13">
      <c r="A13" s="20"/>
      <c r="B13" s="21"/>
      <c r="C13" s="21"/>
      <c r="D13" s="21"/>
      <c r="E13" s="22"/>
      <c r="F13" s="22">
        <f>SUM(Pedidos_de_ventas[Precio])</f>
        <v>57.85</v>
      </c>
      <c r="G13" s="22">
        <f>SUM(Pedidos_de_ventas[Precio Envío])</f>
        <v>11.75</v>
      </c>
      <c r="H13" s="49">
        <f>SUM(Pedidos_de_ventas[Impuestos])</f>
        <v>15.25</v>
      </c>
      <c r="I13" s="21"/>
      <c r="J13" s="21"/>
      <c r="K13" s="50">
        <f>SUM(Pedidos_de_ventas[Total])</f>
        <v>30.85</v>
      </c>
      <c r="L13" s="51">
        <f>SUM(Pedidos_de_ventas[Bono Amazon])</f>
        <v>9</v>
      </c>
      <c r="M13" s="52">
        <f>SUM(Pedidos_de_ventas[Dar Papa])</f>
        <v>30</v>
      </c>
      <c r="N13" s="53">
        <f>SUM(Pedidos_de_ventas[Yo])</f>
        <v>0.85</v>
      </c>
      <c r="O13" s="54">
        <f>SUM(Pedidos_de_ventas[Yo Mas Bono])</f>
        <v>9.85</v>
      </c>
    </row>
  </sheetData>
  <dataValidations>
    <dataValidation type="list" allowBlank="1" sqref="B2:B12">
      <formula1>"Aceite"</formula1>
    </dataValidation>
    <dataValidation type="custom" allowBlank="1" showDropDown="1" sqref="D2:D12">
      <formula1>OR(NOT(ISERROR(DATEVALUE(D2))), AND(ISNUMBER(D2), LEFT(CELL("format", D2))="D"))</formula1>
    </dataValidation>
    <dataValidation type="custom" allowBlank="1" showDropDown="1" sqref="F2:H12 L2:O12">
      <formula1>AND(ISNUMBER(F2),(NOT(OR(NOT(ISERROR(DATEVALUE(F2))), AND(ISNUMBER(F2), LEFT(CELL("format", F2))="D")))))</formula1>
    </dataValidation>
    <dataValidation type="list" allowBlank="1" sqref="C2:C12">
      <formula1>"Recibido,Enviado,Entregado"</formula1>
    </dataValidation>
    <dataValidation type="list" allowBlank="1" sqref="I2:I12">
      <formula1>"Amazon,Web"</formula1>
    </dataValidation>
    <dataValidation type="custom" allowBlank="1" showDropDown="1" sqref="E2:E12">
      <formula1>AND(ISNUMBER(E2),(NOT(OR(NOT(ISERROR(DATEVALUE(E2))), AND(ISNUMBER(E2), LEFT(CELL("format", E2))="D")))))</formula1>
    </dataValidation>
    <dataValidation type="list" allowBlank="1" sqref="A2:A12">
      <formula1>"P0,P1,P2,P3"</formula1>
    </dataValidation>
  </dataValidations>
  <drawing r:id="rId1"/>
  <tableParts count="1">
    <tablePart r:id="rId3"/>
  </tableParts>
</worksheet>
</file>